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'Dashboard'!$D$4:$D$7</f>
            </numRef>
          </cat>
          <val>
            <numRef>
              <f>'Dashboard'!$E$4:$E$7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Month</t>
        </is>
      </c>
      <c r="B1" s="1" t="inlineStr">
        <is>
          <t>Sales Channel</t>
        </is>
      </c>
      <c r="C1" s="1" t="inlineStr">
        <is>
          <t>Product</t>
        </is>
      </c>
      <c r="D1" s="1" t="inlineStr">
        <is>
          <t>Units Sold</t>
        </is>
      </c>
      <c r="E1" s="1" t="inlineStr">
        <is>
          <t>Selling Price</t>
        </is>
      </c>
      <c r="F1" s="1" t="inlineStr">
        <is>
          <t>Cost per Unit</t>
        </is>
      </c>
      <c r="G1" s="1" t="inlineStr">
        <is>
          <t>Revenue</t>
        </is>
      </c>
      <c r="H1" s="1" t="inlineStr">
        <is>
          <t>Profit</t>
        </is>
      </c>
    </row>
    <row r="2">
      <c r="A2" t="inlineStr">
        <is>
          <t>Jan</t>
        </is>
      </c>
      <c r="B2" t="inlineStr">
        <is>
          <t>Website</t>
        </is>
      </c>
      <c r="C2" t="inlineStr">
        <is>
          <t>Laptop Stand</t>
        </is>
      </c>
      <c r="D2" t="n">
        <v>35</v>
      </c>
      <c r="E2" s="2" t="n">
        <v>1200</v>
      </c>
      <c r="F2" s="2" t="n">
        <v>700</v>
      </c>
      <c r="G2" s="2">
        <f>D2*E2</f>
        <v/>
      </c>
      <c r="H2" s="2">
        <f>G2-D2*F2</f>
        <v/>
      </c>
    </row>
    <row r="3">
      <c r="A3" t="inlineStr">
        <is>
          <t>Jan</t>
        </is>
      </c>
      <c r="B3" t="inlineStr">
        <is>
          <t>Instagram</t>
        </is>
      </c>
      <c r="C3" t="inlineStr">
        <is>
          <t>Desk Lamp</t>
        </is>
      </c>
      <c r="D3" t="n">
        <v>28</v>
      </c>
      <c r="E3" s="2" t="n">
        <v>1800</v>
      </c>
      <c r="F3" s="2" t="n">
        <v>1000</v>
      </c>
      <c r="G3" s="2">
        <f>D3*E3</f>
        <v/>
      </c>
      <c r="H3" s="2">
        <f>G3-D3*F3</f>
        <v/>
      </c>
    </row>
    <row r="4">
      <c r="A4" t="inlineStr">
        <is>
          <t>Jan</t>
        </is>
      </c>
      <c r="B4" t="inlineStr">
        <is>
          <t>Referral</t>
        </is>
      </c>
      <c r="C4" t="inlineStr">
        <is>
          <t>Keyboard</t>
        </is>
      </c>
      <c r="D4" t="n">
        <v>20</v>
      </c>
      <c r="E4" s="2" t="n">
        <v>2500</v>
      </c>
      <c r="F4" s="2" t="n">
        <v>1500</v>
      </c>
      <c r="G4" s="2">
        <f>D4*E4</f>
        <v/>
      </c>
      <c r="H4" s="2">
        <f>G4-D4*F4</f>
        <v/>
      </c>
    </row>
    <row r="5">
      <c r="A5" t="inlineStr">
        <is>
          <t>Feb</t>
        </is>
      </c>
      <c r="B5" t="inlineStr">
        <is>
          <t>Website</t>
        </is>
      </c>
      <c r="C5" t="inlineStr">
        <is>
          <t>Laptop Stand</t>
        </is>
      </c>
      <c r="D5" t="n">
        <v>42</v>
      </c>
      <c r="E5" s="2" t="n">
        <v>1200</v>
      </c>
      <c r="F5" s="2" t="n">
        <v>700</v>
      </c>
      <c r="G5" s="2">
        <f>D5*E5</f>
        <v/>
      </c>
      <c r="H5" s="2">
        <f>G5-D5*F5</f>
        <v/>
      </c>
    </row>
    <row r="6">
      <c r="A6" t="inlineStr">
        <is>
          <t>Feb</t>
        </is>
      </c>
      <c r="B6" t="inlineStr">
        <is>
          <t>Instagram</t>
        </is>
      </c>
      <c r="C6" t="inlineStr">
        <is>
          <t>Mouse</t>
        </is>
      </c>
      <c r="D6" t="n">
        <v>55</v>
      </c>
      <c r="E6" s="2" t="n">
        <v>900</v>
      </c>
      <c r="F6" s="2" t="n">
        <v>500</v>
      </c>
      <c r="G6" s="2">
        <f>D6*E6</f>
        <v/>
      </c>
      <c r="H6" s="2">
        <f>G6-D6*F6</f>
        <v/>
      </c>
    </row>
    <row r="7">
      <c r="A7" t="inlineStr">
        <is>
          <t>Feb</t>
        </is>
      </c>
      <c r="B7" t="inlineStr">
        <is>
          <t>Referral</t>
        </is>
      </c>
      <c r="C7" t="inlineStr">
        <is>
          <t>Keyboard</t>
        </is>
      </c>
      <c r="D7" t="n">
        <v>24</v>
      </c>
      <c r="E7" s="2" t="n">
        <v>2500</v>
      </c>
      <c r="F7" s="2" t="n">
        <v>1500</v>
      </c>
      <c r="G7" s="2">
        <f>D7*E7</f>
        <v/>
      </c>
      <c r="H7" s="2">
        <f>G7-D7*F7</f>
        <v/>
      </c>
    </row>
    <row r="8">
      <c r="A8" t="inlineStr">
        <is>
          <t>Mar</t>
        </is>
      </c>
      <c r="B8" t="inlineStr">
        <is>
          <t>Website</t>
        </is>
      </c>
      <c r="C8" t="inlineStr">
        <is>
          <t>Desk Lamp</t>
        </is>
      </c>
      <c r="D8" t="n">
        <v>38</v>
      </c>
      <c r="E8" s="2" t="n">
        <v>1800</v>
      </c>
      <c r="F8" s="2" t="n">
        <v>1000</v>
      </c>
      <c r="G8" s="2">
        <f>D8*E8</f>
        <v/>
      </c>
      <c r="H8" s="2">
        <f>G8-D8*F8</f>
        <v/>
      </c>
    </row>
    <row r="9">
      <c r="A9" t="inlineStr">
        <is>
          <t>Mar</t>
        </is>
      </c>
      <c r="B9" t="inlineStr">
        <is>
          <t>Instagram</t>
        </is>
      </c>
      <c r="C9" t="inlineStr">
        <is>
          <t>Keyboard</t>
        </is>
      </c>
      <c r="D9" t="n">
        <v>31</v>
      </c>
      <c r="E9" s="2" t="n">
        <v>2500</v>
      </c>
      <c r="F9" s="2" t="n">
        <v>1500</v>
      </c>
      <c r="G9" s="2">
        <f>D9*E9</f>
        <v/>
      </c>
      <c r="H9" s="2">
        <f>G9-D9*F9</f>
        <v/>
      </c>
    </row>
    <row r="10">
      <c r="A10" t="inlineStr">
        <is>
          <t>Mar</t>
        </is>
      </c>
      <c r="B10" t="inlineStr">
        <is>
          <t>Referral</t>
        </is>
      </c>
      <c r="C10" t="inlineStr">
        <is>
          <t>Mouse</t>
        </is>
      </c>
      <c r="D10" t="n">
        <v>47</v>
      </c>
      <c r="E10" s="2" t="n">
        <v>900</v>
      </c>
      <c r="F10" s="2" t="n">
        <v>500</v>
      </c>
      <c r="G10" s="2">
        <f>D10*E10</f>
        <v/>
      </c>
      <c r="H10" s="2">
        <f>G10-D10*F10</f>
        <v/>
      </c>
    </row>
    <row r="11">
      <c r="A11" t="inlineStr">
        <is>
          <t>Apr</t>
        </is>
      </c>
      <c r="B11" t="inlineStr">
        <is>
          <t>Website</t>
        </is>
      </c>
      <c r="C11" t="inlineStr">
        <is>
          <t>Laptop Stand</t>
        </is>
      </c>
      <c r="D11" t="n">
        <v>50</v>
      </c>
      <c r="E11" s="2" t="n">
        <v>1200</v>
      </c>
      <c r="F11" s="2" t="n">
        <v>700</v>
      </c>
      <c r="G11" s="2">
        <f>D11*E11</f>
        <v/>
      </c>
      <c r="H11" s="2">
        <f>G11-D11*F11</f>
        <v/>
      </c>
    </row>
    <row r="12">
      <c r="A12" t="inlineStr">
        <is>
          <t>Apr</t>
        </is>
      </c>
      <c r="B12" t="inlineStr">
        <is>
          <t>Instagram</t>
        </is>
      </c>
      <c r="C12" t="inlineStr">
        <is>
          <t>Desk Lamp</t>
        </is>
      </c>
      <c r="D12" t="n">
        <v>34</v>
      </c>
      <c r="E12" s="2" t="n">
        <v>1800</v>
      </c>
      <c r="F12" s="2" t="n">
        <v>1000</v>
      </c>
      <c r="G12" s="2">
        <f>D12*E12</f>
        <v/>
      </c>
      <c r="H12" s="2">
        <f>G12-D12*F12</f>
        <v/>
      </c>
    </row>
    <row r="13">
      <c r="A13" t="inlineStr">
        <is>
          <t>Apr</t>
        </is>
      </c>
      <c r="B13" t="inlineStr">
        <is>
          <t>Referral</t>
        </is>
      </c>
      <c r="C13" t="inlineStr">
        <is>
          <t>Keyboard</t>
        </is>
      </c>
      <c r="D13" t="n">
        <v>29</v>
      </c>
      <c r="E13" s="2" t="n">
        <v>2500</v>
      </c>
      <c r="F13" s="2" t="n">
        <v>1500</v>
      </c>
      <c r="G13" s="2">
        <f>D13*E13</f>
        <v/>
      </c>
      <c r="H13" s="2">
        <f>G13-D13*F13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4" max="4"/>
    <col width="18" customWidth="1" min="5" max="5"/>
    <col width="18" customWidth="1" min="6" max="6"/>
  </cols>
  <sheetData>
    <row r="1">
      <c r="A1" s="3" t="inlineStr">
        <is>
          <t>Sales &amp; Profit Analysis Dashboard</t>
        </is>
      </c>
    </row>
    <row r="3">
      <c r="A3" s="4" t="inlineStr">
        <is>
          <t>Total Revenue</t>
        </is>
      </c>
      <c r="B3" s="2">
        <f>SUM('Sales Data'!G2:G13)</f>
        <v/>
      </c>
      <c r="D3" s="5" t="inlineStr">
        <is>
          <t>Month</t>
        </is>
      </c>
      <c r="E3" s="5" t="inlineStr">
        <is>
          <t>Revenue</t>
        </is>
      </c>
      <c r="F3" s="5" t="inlineStr">
        <is>
          <t>Profit</t>
        </is>
      </c>
    </row>
    <row r="4">
      <c r="A4" s="4" t="inlineStr">
        <is>
          <t>Total Profit</t>
        </is>
      </c>
      <c r="B4" s="2">
        <f>SUM('Sales Data'!H2:H13)</f>
        <v/>
      </c>
      <c r="D4" t="inlineStr">
        <is>
          <t>Jan</t>
        </is>
      </c>
      <c r="E4" s="2">
        <f>SUMIF('Sales Data'!A$2:A$13,D4,'Sales Data'!G$2:G$13)</f>
        <v/>
      </c>
      <c r="F4" s="2">
        <f>SUMIF('Sales Data'!A$2:A$13,D4,'Sales Data'!H$2:H$13)</f>
        <v/>
      </c>
    </row>
    <row r="5">
      <c r="A5" s="4" t="inlineStr">
        <is>
          <t>Total Units Sold</t>
        </is>
      </c>
      <c r="B5">
        <f>SUM('Sales Data'!D2:D13)</f>
        <v/>
      </c>
      <c r="D5" t="inlineStr">
        <is>
          <t>Feb</t>
        </is>
      </c>
      <c r="E5" s="2">
        <f>SUMIF('Sales Data'!A$2:A$13,D5,'Sales Data'!G$2:G$13)</f>
        <v/>
      </c>
      <c r="F5" s="2">
        <f>SUMIF('Sales Data'!A$2:A$13,D5,'Sales Data'!H$2:H$13)</f>
        <v/>
      </c>
    </row>
    <row r="6">
      <c r="A6" s="4" t="inlineStr">
        <is>
          <t>Average Profit / Unit</t>
        </is>
      </c>
      <c r="B6" s="2">
        <f>B4/B5</f>
        <v/>
      </c>
      <c r="D6" t="inlineStr">
        <is>
          <t>Mar</t>
        </is>
      </c>
      <c r="E6" s="2">
        <f>SUMIF('Sales Data'!A$2:A$13,D6,'Sales Data'!G$2:G$13)</f>
        <v/>
      </c>
      <c r="F6" s="2">
        <f>SUMIF('Sales Data'!A$2:A$13,D6,'Sales Data'!H$2:H$13)</f>
        <v/>
      </c>
    </row>
    <row r="7">
      <c r="D7" t="inlineStr">
        <is>
          <t>Apr</t>
        </is>
      </c>
      <c r="E7" s="2">
        <f>SUMIF('Sales Data'!A$2:A$13,D7,'Sales Data'!G$2:G$13)</f>
        <v/>
      </c>
      <c r="F7" s="2">
        <f>SUMIF('Sales Data'!A$2:A$13,D7,'Sales Data'!H$2:H$13)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2026-09-21T05:05:03Z</dcterms:created>
  <dcterms:modified xmlns:dcterms="http://purl.org/dc/terms/" xmlns:xsi="http://www.w3.org/2001/XMLSchema-instance" xsi:type="dcterms:W3CDTF">2026-09-21T05:05:03Z</dcterms:modified>
</cp:coreProperties>
</file>